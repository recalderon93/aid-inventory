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ph\Downloads\"/>
    </mc:Choice>
  </mc:AlternateContent>
  <xr:revisionPtr revIDLastSave="0" documentId="13_ncr:1_{0B9E064B-9F8A-4785-AD2F-F55A7E016C9A}" xr6:coauthVersionLast="47" xr6:coauthVersionMax="47" xr10:uidLastSave="{00000000-0000-0000-0000-000000000000}"/>
  <bookViews>
    <workbookView xWindow="-108" yWindow="-108" windowWidth="23256" windowHeight="12456" xr2:uid="{42032000-5A9F-427E-AE24-04D89E9AB05C}"/>
  </bookViews>
  <sheets>
    <sheet name="Sheet1" sheetId="1" r:id="rId1"/>
  </sheets>
  <definedNames>
    <definedName name="_xlnm._FilterDatabase" localSheetId="0" hidden="1">Sheet1!$A$2:$H$75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66" i="1" l="1"/>
  <c r="E136" i="1"/>
  <c r="E137" i="1"/>
  <c r="E89" i="1"/>
  <c r="E88" i="1"/>
  <c r="E36" i="1"/>
</calcChain>
</file>

<file path=xl/sharedStrings.xml><?xml version="1.0" encoding="utf-8"?>
<sst xmlns="http://schemas.openxmlformats.org/spreadsheetml/2006/main" count="562" uniqueCount="285">
  <si>
    <t>CAJA #</t>
  </si>
  <si>
    <t>CLASIFICACION</t>
  </si>
  <si>
    <t>DESCRIPCION</t>
  </si>
  <si>
    <t>PRESENTACION</t>
  </si>
  <si>
    <t>CANT</t>
  </si>
  <si>
    <t>UND MEDIDA</t>
  </si>
  <si>
    <t>EXISTENCIA</t>
  </si>
  <si>
    <t>SALIDA</t>
  </si>
  <si>
    <t>IBUPROFENO</t>
  </si>
  <si>
    <t>SENOKOT C/ DOCUSATO</t>
  </si>
  <si>
    <t>CAJA 30 UNID</t>
  </si>
  <si>
    <t>BLISTER 30 UNID</t>
  </si>
  <si>
    <t>BLISTER 10 UNID</t>
  </si>
  <si>
    <t>BLISTER 20 UNID</t>
  </si>
  <si>
    <t>10 MG</t>
  </si>
  <si>
    <t>250 MG</t>
  </si>
  <si>
    <t>800 MG</t>
  </si>
  <si>
    <t>60 MG</t>
  </si>
  <si>
    <t xml:space="preserve">100 MG </t>
  </si>
  <si>
    <t>80/400 MG</t>
  </si>
  <si>
    <t xml:space="preserve">AMLODIPINO </t>
  </si>
  <si>
    <t>ANALPER</t>
  </si>
  <si>
    <t xml:space="preserve">ETORICOXILO </t>
  </si>
  <si>
    <t xml:space="preserve">ACIDO ACETILSALICILICO </t>
  </si>
  <si>
    <t>ADIRO 100</t>
  </si>
  <si>
    <t>BACTRON</t>
  </si>
  <si>
    <t>ANTIHIPERTENSIVO</t>
  </si>
  <si>
    <t>ANALGESICO</t>
  </si>
  <si>
    <t>ANTIINFLAMATORIO NO ESTEROIDE (AINE)</t>
  </si>
  <si>
    <t>ANTIINFLAMATORIO NO ESTEROIDE (AINE) - INHIBIDOR COX-2</t>
  </si>
  <si>
    <t>LAXANTE</t>
  </si>
  <si>
    <t>ANTIAGREGANTE PLAQUETARIO</t>
  </si>
  <si>
    <t>ANTIBIOTICO</t>
  </si>
  <si>
    <t>TIAMINA</t>
  </si>
  <si>
    <t>300 MG</t>
  </si>
  <si>
    <t>TAPENTADOL</t>
  </si>
  <si>
    <t>50 MG</t>
  </si>
  <si>
    <t>CAJA 60 UNID</t>
  </si>
  <si>
    <t>40 MG</t>
  </si>
  <si>
    <t>CAJA 28 UND</t>
  </si>
  <si>
    <t>IDOXEN</t>
  </si>
  <si>
    <t>75 MG</t>
  </si>
  <si>
    <t>CAJA 10 UNID</t>
  </si>
  <si>
    <t>MIGREN</t>
  </si>
  <si>
    <t>700 MG</t>
  </si>
  <si>
    <t>VITABLU C</t>
  </si>
  <si>
    <t>500 MG</t>
  </si>
  <si>
    <t>BLISTER 8 UNID</t>
  </si>
  <si>
    <t>CLINDAMICINA</t>
  </si>
  <si>
    <t>BLISTER 4 UNID</t>
  </si>
  <si>
    <t>TIOCOLCHICOSIDO</t>
  </si>
  <si>
    <t>4 MG</t>
  </si>
  <si>
    <t>BLISTER 5 UND</t>
  </si>
  <si>
    <t>MELOXICAM</t>
  </si>
  <si>
    <t>15 MG</t>
  </si>
  <si>
    <t>DEXAMETASONA</t>
  </si>
  <si>
    <t>LOSAXEL</t>
  </si>
  <si>
    <t>DEFLAZACORT</t>
  </si>
  <si>
    <t>30 MG</t>
  </si>
  <si>
    <t>MOVIMEX</t>
  </si>
  <si>
    <t>VITAMINA COMPLEJO B</t>
  </si>
  <si>
    <t>ANALGESICO OPIOIDE</t>
  </si>
  <si>
    <t>ANALGESICO/ANTIMIGRAÑOSO</t>
  </si>
  <si>
    <t>SUPLEMENTO VITAMINICO</t>
  </si>
  <si>
    <t>RELAJANTE MUSCULAR</t>
  </si>
  <si>
    <t>CORTICOESTEROIDE</t>
  </si>
  <si>
    <t>OLMESARTAN MEDOXOMILO</t>
  </si>
  <si>
    <t>DLORIXINA FLEX</t>
  </si>
  <si>
    <t>CANDERSARTAN CILEXETILO</t>
  </si>
  <si>
    <t>16 MG</t>
  </si>
  <si>
    <t>CICLOBENZAPINA</t>
  </si>
  <si>
    <t>METFORMINA</t>
  </si>
  <si>
    <t>DICLOFENAC POTASICO</t>
  </si>
  <si>
    <t>ANALGESICO/ANTIFLAMATORIO</t>
  </si>
  <si>
    <t>ANTIDIABETICO ORAL</t>
  </si>
  <si>
    <t>SILODOSINA</t>
  </si>
  <si>
    <t>8 MG</t>
  </si>
  <si>
    <t>CAJA 29 UNID</t>
  </si>
  <si>
    <t>SOLUCION ORAL GORAS</t>
  </si>
  <si>
    <t>NOXPIRIN - USO PEDIATRICO</t>
  </si>
  <si>
    <t>DENCORUB</t>
  </si>
  <si>
    <t>DYNACET GRIP NOCHE</t>
  </si>
  <si>
    <t>2 G</t>
  </si>
  <si>
    <t>SOBRE 1</t>
  </si>
  <si>
    <t>VIAJESAN</t>
  </si>
  <si>
    <t>BLISTER 7 UNID</t>
  </si>
  <si>
    <t>BLISTER 3 UNID</t>
  </si>
  <si>
    <t>BLISTER 29 UNID</t>
  </si>
  <si>
    <t>BISOPROLOL FUMARATO</t>
  </si>
  <si>
    <t>5 MG</t>
  </si>
  <si>
    <t>UROLOGICO</t>
  </si>
  <si>
    <t>ANTIGRIPAL PEDIATRICO</t>
  </si>
  <si>
    <t>ANTIINFLAMATORIO TOPICO</t>
  </si>
  <si>
    <t>ANTIGRIPAL</t>
  </si>
  <si>
    <t>ANTIEMETICO/ANTIVERTIGINOSO</t>
  </si>
  <si>
    <t>GASA ESTERIL</t>
  </si>
  <si>
    <t>SOBRE 2 UNID</t>
  </si>
  <si>
    <t>TIZANIDINA</t>
  </si>
  <si>
    <t>2 MG</t>
  </si>
  <si>
    <t>ATAMEL FORTE</t>
  </si>
  <si>
    <t>650 MG</t>
  </si>
  <si>
    <t>NIFEDIPINA</t>
  </si>
  <si>
    <t>20 MG</t>
  </si>
  <si>
    <t>BLISTER 9 UNID</t>
  </si>
  <si>
    <t>ANALGESICO/ANTIPIRETICO</t>
  </si>
  <si>
    <t>PROTOSULFIL 1%</t>
  </si>
  <si>
    <t xml:space="preserve">BACITRACINA </t>
  </si>
  <si>
    <t>500 UL/G</t>
  </si>
  <si>
    <t>CREMA 30G</t>
  </si>
  <si>
    <t>AL 1%</t>
  </si>
  <si>
    <t>CREMA 15G</t>
  </si>
  <si>
    <t>SULFADIAZINA DE PLATA 1%</t>
  </si>
  <si>
    <t>MUPIROCIN 2%</t>
  </si>
  <si>
    <t>AL 2%</t>
  </si>
  <si>
    <t>BALSADER POMADA</t>
  </si>
  <si>
    <t>SUTURA QUIRURGICA NYLON</t>
  </si>
  <si>
    <t>SOLUCION JABONOSA PARA EDEMA</t>
  </si>
  <si>
    <t>GLICERINA</t>
  </si>
  <si>
    <t>60 CM</t>
  </si>
  <si>
    <t>10CM</t>
  </si>
  <si>
    <t>10 CM</t>
  </si>
  <si>
    <t>MADECASOL</t>
  </si>
  <si>
    <t xml:space="preserve">AL 2% </t>
  </si>
  <si>
    <t>VASELINA</t>
  </si>
  <si>
    <t>PASTA AL AGUA</t>
  </si>
  <si>
    <t>CREMA 100 G</t>
  </si>
  <si>
    <t>POLVO 5G</t>
  </si>
  <si>
    <t>BETAGEN SOLSPEN</t>
  </si>
  <si>
    <t>AMPOLLA 1ML</t>
  </si>
  <si>
    <t>BUDESONIDA</t>
  </si>
  <si>
    <t>1MG/ML</t>
  </si>
  <si>
    <t>SUSPENSION PARA NEBULIZAR 15ML</t>
  </si>
  <si>
    <t>GEL 40G</t>
  </si>
  <si>
    <t>CREMA 40G</t>
  </si>
  <si>
    <t>ANTISEPTICO TOPICO</t>
  </si>
  <si>
    <t>CICATRIZANTE</t>
  </si>
  <si>
    <t>INSUMO MEDICO</t>
  </si>
  <si>
    <t>ANTISEPTICO</t>
  </si>
  <si>
    <t>EMOLIENTE</t>
  </si>
  <si>
    <t>CORTICOESTEROIDE TOPICO</t>
  </si>
  <si>
    <t>PROTECTOR CUTANEO</t>
  </si>
  <si>
    <t>RILAST TURBUHALER</t>
  </si>
  <si>
    <t>160/4.5 MG</t>
  </si>
  <si>
    <t>INHALADOR C/ 120 DOSIS</t>
  </si>
  <si>
    <t>SERETIDE</t>
  </si>
  <si>
    <t>INHALADOR</t>
  </si>
  <si>
    <t>TRIMBOW</t>
  </si>
  <si>
    <t>87/5/9 MG</t>
  </si>
  <si>
    <t>25/125MG</t>
  </si>
  <si>
    <t>ARNICA</t>
  </si>
  <si>
    <t>CREMA 100G</t>
  </si>
  <si>
    <t>CITRATO DE POTASIO</t>
  </si>
  <si>
    <t>AL 10.8%</t>
  </si>
  <si>
    <t>10ML</t>
  </si>
  <si>
    <t>GELROLL-ON 60G</t>
  </si>
  <si>
    <t>ENEMA</t>
  </si>
  <si>
    <t>130 ML</t>
  </si>
  <si>
    <t>FOSTATO DE SODIO  MONOBASICO 160MG Y DIBASICO 60MG</t>
  </si>
  <si>
    <t>GLUCONATO DE CLORHEXIDINA 2%</t>
  </si>
  <si>
    <t>JABON 200 ML</t>
  </si>
  <si>
    <t>BURETAS</t>
  </si>
  <si>
    <t>BOLSA MACROGOTERO</t>
  </si>
  <si>
    <t>BOLSA BURETA</t>
  </si>
  <si>
    <t>TRANSFUSIÓN PEDIÁTRICO</t>
  </si>
  <si>
    <t>BOLSA DE ORINA ADULTO</t>
  </si>
  <si>
    <t>MICROGOTEROS</t>
  </si>
  <si>
    <t>ANTIASMATICO/BRONCODILATADOR</t>
  </si>
  <si>
    <t>ANTIASMATICO</t>
  </si>
  <si>
    <t>ALCALINIZANTE URINARIO</t>
  </si>
  <si>
    <t>150ML</t>
  </si>
  <si>
    <t>GLUCONATO DE CLORHEXIDINA 0.12%</t>
  </si>
  <si>
    <t>AL 0.12%</t>
  </si>
  <si>
    <t>SOLUCION TOPICA BUCAL 350ML</t>
  </si>
  <si>
    <t>AL 10%</t>
  </si>
  <si>
    <t>BETADINE 10%</t>
  </si>
  <si>
    <t>SOLUCION 120 ML</t>
  </si>
  <si>
    <t>ACETAMINOFEN</t>
  </si>
  <si>
    <t>600 CAPSULAS</t>
  </si>
  <si>
    <t>GEL ULTRASONIDO</t>
  </si>
  <si>
    <t>GEL 20G</t>
  </si>
  <si>
    <t>BICARBONATO DE SODIO 5%</t>
  </si>
  <si>
    <t>100 ML</t>
  </si>
  <si>
    <t xml:space="preserve">150 ML </t>
  </si>
  <si>
    <t>AL 5% - 0,6mEq/mL</t>
  </si>
  <si>
    <t>JABON LIQUIDO ANTIBACTERIAL - ANTISEPTICO</t>
  </si>
  <si>
    <t>JABON 240ML</t>
  </si>
  <si>
    <t>SOLUCION ELECTROLITICA</t>
  </si>
  <si>
    <t>SOLUCION DEXTROSA</t>
  </si>
  <si>
    <t>5% - 0.45%</t>
  </si>
  <si>
    <t>5% - 0.9%</t>
  </si>
  <si>
    <t>VENDA ELASTICA CON VELCRO</t>
  </si>
  <si>
    <t>10CM x 4,5M</t>
  </si>
  <si>
    <t>INMOVILIZADOR DE DEDO TIPO PLEGABLE</t>
  </si>
  <si>
    <t>TALLA S</t>
  </si>
  <si>
    <t>BANDA SOPORTE PARA CODO</t>
  </si>
  <si>
    <t>TALLA UNICA AJUSTABLE</t>
  </si>
  <si>
    <t xml:space="preserve">VENDAS DE YESO </t>
  </si>
  <si>
    <t xml:space="preserve">20CM x 2,7M </t>
  </si>
  <si>
    <t>VENDA ELASTICA HOSPITALARIA</t>
  </si>
  <si>
    <t>15 CM x 1M</t>
  </si>
  <si>
    <t xml:space="preserve">VENDA ELASTICA </t>
  </si>
  <si>
    <t>12 CM x  3M</t>
  </si>
  <si>
    <t>SOLUCION (CLORURO DE SODIO)</t>
  </si>
  <si>
    <t>23G x 3/4"</t>
  </si>
  <si>
    <t>21G x 3/4"</t>
  </si>
  <si>
    <t xml:space="preserve">SCALP (PERICRANEAL) </t>
  </si>
  <si>
    <t>AGUJA</t>
  </si>
  <si>
    <t>21G x 2"</t>
  </si>
  <si>
    <t>ALCOHOL</t>
  </si>
  <si>
    <t>500ML</t>
  </si>
  <si>
    <t>950ML</t>
  </si>
  <si>
    <t>1LT</t>
  </si>
  <si>
    <t>3.7 LT</t>
  </si>
  <si>
    <t>120CC</t>
  </si>
  <si>
    <t>240CC</t>
  </si>
  <si>
    <t>SOBRES DE 50 PIEZAS C/U</t>
  </si>
  <si>
    <t>SOBRES DE 100 PIEZAS C/U</t>
  </si>
  <si>
    <t>TALLA M</t>
  </si>
  <si>
    <t>SOBRE INCOMPLETO (APROX 30 PIEZAS)</t>
  </si>
  <si>
    <t>19G</t>
  </si>
  <si>
    <t>MULETAS USADAS</t>
  </si>
  <si>
    <t>MULETAS NUEVAS</t>
  </si>
  <si>
    <t>1 LT</t>
  </si>
  <si>
    <t>TALLA L</t>
  </si>
  <si>
    <t>CATHETER</t>
  </si>
  <si>
    <t>22G</t>
  </si>
  <si>
    <t>BASTON ADULTO</t>
  </si>
  <si>
    <t>ANDADERA ADULTO</t>
  </si>
  <si>
    <t>YESO</t>
  </si>
  <si>
    <t>20CM</t>
  </si>
  <si>
    <t>15CM</t>
  </si>
  <si>
    <t>GUATA</t>
  </si>
  <si>
    <t>HISOPOS APLICADORES LARGOS 6"</t>
  </si>
  <si>
    <t>HISOPOS APLICADORES CORTOS 6"</t>
  </si>
  <si>
    <t>SOBRES INDIVIDUALES (UN HISOPO POR SOBRE)</t>
  </si>
  <si>
    <t>HISOPOS APLICADORES LARGOS 8"</t>
  </si>
  <si>
    <t>SOBRE DE 100 PIEZAS</t>
  </si>
  <si>
    <t xml:space="preserve">CAJA DE 100 UNIDADES </t>
  </si>
  <si>
    <t>HISOPOS APLICADORES LARGOS 6" (ESTERIL)</t>
  </si>
  <si>
    <t>REHIDROSOL (PARECIDO AL PEDIALYTE)</t>
  </si>
  <si>
    <t xml:space="preserve">HIDRATANTE ORAL </t>
  </si>
  <si>
    <t>VENDAS</t>
  </si>
  <si>
    <t>ADHESIVOS</t>
  </si>
  <si>
    <t>CAJAS DE 25 SOBRES C/U</t>
  </si>
  <si>
    <t>GASAS ESTERILES</t>
  </si>
  <si>
    <t>PEDIALYTE</t>
  </si>
  <si>
    <t>GUANTES ESTERILES</t>
  </si>
  <si>
    <t>MEDIDA 7.0</t>
  </si>
  <si>
    <t>MEDIDA 7.5</t>
  </si>
  <si>
    <t>MEDIDA 8.0</t>
  </si>
  <si>
    <t>MEDIDA 6.0</t>
  </si>
  <si>
    <t>JERINGA DE 5ML</t>
  </si>
  <si>
    <t>5ML</t>
  </si>
  <si>
    <t>CEPILLOS QUIRURGICOS</t>
  </si>
  <si>
    <t>C/ SOLUCION DE GLUCONATO DE CLORHEXIDINA</t>
  </si>
  <si>
    <t>JERINGA DE 20ML</t>
  </si>
  <si>
    <t>JERINGA DE 3ML</t>
  </si>
  <si>
    <t>20ML</t>
  </si>
  <si>
    <t>3ML</t>
  </si>
  <si>
    <t>AGUA OXIGENADA 3%</t>
  </si>
  <si>
    <t>AL 3%</t>
  </si>
  <si>
    <t>3.79L</t>
  </si>
  <si>
    <t>950CM</t>
  </si>
  <si>
    <t>YODO 7.5%</t>
  </si>
  <si>
    <t>AL 7.5%</t>
  </si>
  <si>
    <t>3.75L</t>
  </si>
  <si>
    <t>MACROGOTEROS</t>
  </si>
  <si>
    <t>220CM - 2 PUNTOS "Y"</t>
  </si>
  <si>
    <t>UNID</t>
  </si>
  <si>
    <t>COMPRESA DE LAPAROTOMIA</t>
  </si>
  <si>
    <t xml:space="preserve">18" X 18" </t>
  </si>
  <si>
    <t>SOBRES DE 5 COMPRESAS C/U</t>
  </si>
  <si>
    <t>C/ DESINFECTANTE</t>
  </si>
  <si>
    <t>C/ IODO</t>
  </si>
  <si>
    <t>150ML - 1 PUNTO "Y"</t>
  </si>
  <si>
    <t xml:space="preserve">BURETAS </t>
  </si>
  <si>
    <t>3.75LT</t>
  </si>
  <si>
    <t>EQUIPO DE TRANSFUSION DE SANGRE PEDIATRICO</t>
  </si>
  <si>
    <t>SOLUCION YODADA JABONOSA</t>
  </si>
  <si>
    <t xml:space="preserve">GUANTES </t>
  </si>
  <si>
    <t>CAJAS DE 100 C/U</t>
  </si>
  <si>
    <t>GUANTES</t>
  </si>
  <si>
    <t>TALLA XL</t>
  </si>
  <si>
    <t>CAJAS DE 50 C/U</t>
  </si>
  <si>
    <t>GALONES DE 3.7LT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</si>
</sst>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9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D9538-5D8F-44FA-973A-E98F432FF03D}">
  <dimension ref="A1:H170"/>
  <sheetViews>
    <sheetView tabSelected="1" topLeftCell="A153" workbookViewId="0">
      <selection activeCell="C173" sqref="C173"/>
    </sheetView>
  </sheetViews>
  <sheetFormatPr defaultRowHeight="14.4" x14ac:dyDescent="0.3"/>
  <cols>
    <col min="2" max="2" width="51.6640625" bestFit="1" customWidth="1"/>
    <col min="3" max="3" width="51" bestFit="1" customWidth="1"/>
    <col min="4" max="4" width="41.6640625" style="1" bestFit="1" customWidth="1"/>
    <col min="5" max="5" width="10.44140625" bestFit="1" customWidth="1"/>
    <col min="6" max="6" width="40.77734375" bestFit="1" customWidth="1"/>
  </cols>
  <sheetData>
    <row r="1" spans="1:8" x14ac:dyDescent="0.3">
      <c r="E1" t="s">
        <v>6</v>
      </c>
      <c r="H1" t="s">
        <v>7</v>
      </c>
    </row>
    <row r="2" spans="1:8" x14ac:dyDescent="0.3">
      <c r="A2" t="s">
        <v>0</v>
      </c>
      <c r="B2" t="s">
        <v>1</v>
      </c>
      <c r="C2" t="s">
        <v>2</v>
      </c>
      <c r="D2" s="1" t="s">
        <v>3</v>
      </c>
      <c r="E2" t="s">
        <v>4</v>
      </c>
      <c r="F2" t="s">
        <v>5</v>
      </c>
    </row>
    <row r="3" spans="1:8" x14ac:dyDescent="0.3">
      <c r="A3">
        <v>170</v>
      </c>
      <c r="B3" t="s">
        <v>26</v>
      </c>
      <c r="C3" t="s">
        <v>20</v>
      </c>
      <c r="D3" s="1" t="s">
        <v>14</v>
      </c>
      <c r="E3">
        <v>1</v>
      </c>
      <c r="F3" t="s">
        <v>11</v>
      </c>
    </row>
    <row r="4" spans="1:8" x14ac:dyDescent="0.3">
      <c r="A4">
        <v>170</v>
      </c>
      <c r="B4" t="s">
        <v>27</v>
      </c>
      <c r="C4" t="s">
        <v>21</v>
      </c>
      <c r="D4" s="1" t="s">
        <v>15</v>
      </c>
      <c r="E4">
        <v>1</v>
      </c>
      <c r="F4" t="s">
        <v>12</v>
      </c>
    </row>
    <row r="5" spans="1:8" x14ac:dyDescent="0.3">
      <c r="A5">
        <v>170</v>
      </c>
      <c r="B5" t="s">
        <v>28</v>
      </c>
      <c r="C5" t="s">
        <v>8</v>
      </c>
      <c r="D5" s="1" t="s">
        <v>16</v>
      </c>
      <c r="E5">
        <v>2</v>
      </c>
      <c r="F5" t="s">
        <v>13</v>
      </c>
    </row>
    <row r="6" spans="1:8" x14ac:dyDescent="0.3">
      <c r="A6">
        <v>170</v>
      </c>
      <c r="B6" t="s">
        <v>29</v>
      </c>
      <c r="C6" t="s">
        <v>22</v>
      </c>
      <c r="D6" s="1" t="s">
        <v>17</v>
      </c>
      <c r="E6">
        <v>2</v>
      </c>
      <c r="F6" t="s">
        <v>13</v>
      </c>
    </row>
    <row r="7" spans="1:8" x14ac:dyDescent="0.3">
      <c r="A7">
        <v>170</v>
      </c>
      <c r="B7" t="s">
        <v>30</v>
      </c>
      <c r="C7" t="s">
        <v>9</v>
      </c>
      <c r="E7">
        <v>2</v>
      </c>
      <c r="F7" t="s">
        <v>13</v>
      </c>
    </row>
    <row r="8" spans="1:8" x14ac:dyDescent="0.3">
      <c r="A8">
        <v>170</v>
      </c>
      <c r="B8" t="s">
        <v>31</v>
      </c>
      <c r="C8" t="s">
        <v>23</v>
      </c>
      <c r="D8" s="1" t="s">
        <v>18</v>
      </c>
      <c r="E8">
        <v>1</v>
      </c>
      <c r="F8" t="s">
        <v>11</v>
      </c>
    </row>
    <row r="9" spans="1:8" x14ac:dyDescent="0.3">
      <c r="A9">
        <v>170</v>
      </c>
      <c r="B9" t="s">
        <v>31</v>
      </c>
      <c r="C9" t="s">
        <v>24</v>
      </c>
      <c r="D9" s="1" t="s">
        <v>18</v>
      </c>
      <c r="E9">
        <v>1</v>
      </c>
      <c r="F9" t="s">
        <v>10</v>
      </c>
    </row>
    <row r="10" spans="1:8" x14ac:dyDescent="0.3">
      <c r="A10">
        <v>170</v>
      </c>
      <c r="B10" t="s">
        <v>32</v>
      </c>
      <c r="C10" t="s">
        <v>25</v>
      </c>
      <c r="D10" s="1" t="s">
        <v>19</v>
      </c>
      <c r="E10">
        <v>1</v>
      </c>
      <c r="F10" t="s">
        <v>12</v>
      </c>
    </row>
    <row r="11" spans="1:8" x14ac:dyDescent="0.3">
      <c r="A11">
        <v>170</v>
      </c>
      <c r="B11" t="s">
        <v>60</v>
      </c>
      <c r="C11" t="s">
        <v>33</v>
      </c>
      <c r="D11" s="1" t="s">
        <v>34</v>
      </c>
      <c r="E11">
        <v>2</v>
      </c>
      <c r="F11" t="s">
        <v>13</v>
      </c>
    </row>
    <row r="12" spans="1:8" x14ac:dyDescent="0.3">
      <c r="A12">
        <v>170</v>
      </c>
      <c r="B12" t="s">
        <v>61</v>
      </c>
      <c r="C12" t="s">
        <v>35</v>
      </c>
      <c r="D12" s="1" t="s">
        <v>36</v>
      </c>
      <c r="E12">
        <v>1</v>
      </c>
      <c r="F12" t="s">
        <v>37</v>
      </c>
    </row>
    <row r="13" spans="1:8" x14ac:dyDescent="0.3">
      <c r="A13">
        <v>170</v>
      </c>
      <c r="B13" t="s">
        <v>26</v>
      </c>
      <c r="C13" t="s">
        <v>66</v>
      </c>
      <c r="D13" s="1" t="s">
        <v>38</v>
      </c>
      <c r="E13">
        <v>1</v>
      </c>
      <c r="F13" t="s">
        <v>39</v>
      </c>
    </row>
    <row r="14" spans="1:8" x14ac:dyDescent="0.3">
      <c r="A14">
        <v>170</v>
      </c>
      <c r="B14" t="s">
        <v>28</v>
      </c>
      <c r="C14" t="s">
        <v>40</v>
      </c>
      <c r="D14" s="1" t="s">
        <v>41</v>
      </c>
      <c r="E14">
        <v>1</v>
      </c>
      <c r="F14" t="s">
        <v>42</v>
      </c>
    </row>
    <row r="15" spans="1:8" x14ac:dyDescent="0.3">
      <c r="A15">
        <v>170</v>
      </c>
      <c r="B15" t="s">
        <v>62</v>
      </c>
      <c r="C15" t="s">
        <v>43</v>
      </c>
      <c r="D15" s="1" t="s">
        <v>44</v>
      </c>
      <c r="E15">
        <v>2</v>
      </c>
      <c r="F15" t="s">
        <v>13</v>
      </c>
    </row>
    <row r="16" spans="1:8" x14ac:dyDescent="0.3">
      <c r="A16">
        <v>170</v>
      </c>
      <c r="B16" t="s">
        <v>63</v>
      </c>
      <c r="C16" t="s">
        <v>45</v>
      </c>
      <c r="D16" s="1" t="s">
        <v>46</v>
      </c>
      <c r="E16">
        <v>1</v>
      </c>
      <c r="F16" t="s">
        <v>47</v>
      </c>
    </row>
    <row r="17" spans="1:6" x14ac:dyDescent="0.3">
      <c r="A17">
        <v>170</v>
      </c>
      <c r="B17" t="s">
        <v>32</v>
      </c>
      <c r="C17" t="s">
        <v>48</v>
      </c>
      <c r="D17" s="1" t="s">
        <v>34</v>
      </c>
      <c r="E17">
        <v>1</v>
      </c>
      <c r="F17" t="s">
        <v>49</v>
      </c>
    </row>
    <row r="18" spans="1:6" x14ac:dyDescent="0.3">
      <c r="A18">
        <v>170</v>
      </c>
      <c r="B18" t="s">
        <v>64</v>
      </c>
      <c r="C18" t="s">
        <v>50</v>
      </c>
      <c r="D18" s="1" t="s">
        <v>51</v>
      </c>
      <c r="E18">
        <v>1</v>
      </c>
      <c r="F18" t="s">
        <v>52</v>
      </c>
    </row>
    <row r="19" spans="1:6" x14ac:dyDescent="0.3">
      <c r="A19">
        <v>170</v>
      </c>
      <c r="B19" t="s">
        <v>28</v>
      </c>
      <c r="C19" t="s">
        <v>53</v>
      </c>
      <c r="D19" s="1" t="s">
        <v>54</v>
      </c>
      <c r="E19">
        <v>1</v>
      </c>
      <c r="F19" t="s">
        <v>12</v>
      </c>
    </row>
    <row r="20" spans="1:6" x14ac:dyDescent="0.3">
      <c r="A20">
        <v>170</v>
      </c>
      <c r="B20" t="s">
        <v>65</v>
      </c>
      <c r="C20" t="s">
        <v>55</v>
      </c>
      <c r="D20" s="1" t="s">
        <v>51</v>
      </c>
      <c r="E20">
        <v>1</v>
      </c>
      <c r="F20" t="s">
        <v>47</v>
      </c>
    </row>
    <row r="21" spans="1:6" x14ac:dyDescent="0.3">
      <c r="A21">
        <v>170</v>
      </c>
      <c r="B21" t="s">
        <v>26</v>
      </c>
      <c r="C21" t="s">
        <v>56</v>
      </c>
      <c r="D21" s="1" t="s">
        <v>36</v>
      </c>
      <c r="E21">
        <v>2</v>
      </c>
      <c r="F21" t="s">
        <v>13</v>
      </c>
    </row>
    <row r="22" spans="1:6" x14ac:dyDescent="0.3">
      <c r="A22">
        <v>170</v>
      </c>
      <c r="B22" t="s">
        <v>65</v>
      </c>
      <c r="C22" t="s">
        <v>57</v>
      </c>
      <c r="D22" s="1" t="s">
        <v>58</v>
      </c>
      <c r="E22">
        <v>1</v>
      </c>
      <c r="F22" t="s">
        <v>12</v>
      </c>
    </row>
    <row r="23" spans="1:6" x14ac:dyDescent="0.3">
      <c r="A23">
        <v>170</v>
      </c>
      <c r="B23" t="s">
        <v>28</v>
      </c>
      <c r="C23" t="s">
        <v>59</v>
      </c>
      <c r="D23" s="1" t="s">
        <v>54</v>
      </c>
      <c r="E23">
        <v>1</v>
      </c>
      <c r="F23" t="s">
        <v>12</v>
      </c>
    </row>
    <row r="24" spans="1:6" x14ac:dyDescent="0.3">
      <c r="A24">
        <v>170</v>
      </c>
      <c r="B24" t="s">
        <v>73</v>
      </c>
      <c r="C24" t="s">
        <v>67</v>
      </c>
      <c r="E24">
        <v>1</v>
      </c>
      <c r="F24" t="s">
        <v>12</v>
      </c>
    </row>
    <row r="25" spans="1:6" x14ac:dyDescent="0.3">
      <c r="A25">
        <v>170</v>
      </c>
      <c r="B25" t="s">
        <v>26</v>
      </c>
      <c r="C25" t="s">
        <v>68</v>
      </c>
      <c r="D25" s="1" t="s">
        <v>69</v>
      </c>
      <c r="E25">
        <v>1</v>
      </c>
      <c r="F25" t="s">
        <v>47</v>
      </c>
    </row>
    <row r="26" spans="1:6" x14ac:dyDescent="0.3">
      <c r="A26">
        <v>170</v>
      </c>
      <c r="B26" t="s">
        <v>64</v>
      </c>
      <c r="C26" t="s">
        <v>70</v>
      </c>
      <c r="D26" s="1" t="s">
        <v>14</v>
      </c>
      <c r="E26">
        <v>3</v>
      </c>
      <c r="F26" t="s">
        <v>87</v>
      </c>
    </row>
    <row r="27" spans="1:6" x14ac:dyDescent="0.3">
      <c r="A27">
        <v>170</v>
      </c>
      <c r="B27" t="s">
        <v>74</v>
      </c>
      <c r="C27" t="s">
        <v>71</v>
      </c>
      <c r="D27" s="1" t="s">
        <v>46</v>
      </c>
      <c r="E27">
        <v>1</v>
      </c>
      <c r="F27" t="s">
        <v>86</v>
      </c>
    </row>
    <row r="28" spans="1:6" x14ac:dyDescent="0.3">
      <c r="A28">
        <v>170</v>
      </c>
      <c r="B28" t="s">
        <v>28</v>
      </c>
      <c r="C28" t="s">
        <v>72</v>
      </c>
      <c r="D28" s="1" t="s">
        <v>18</v>
      </c>
      <c r="E28">
        <v>1</v>
      </c>
      <c r="F28" t="s">
        <v>12</v>
      </c>
    </row>
    <row r="29" spans="1:6" x14ac:dyDescent="0.3">
      <c r="A29">
        <v>170</v>
      </c>
      <c r="B29" t="s">
        <v>90</v>
      </c>
      <c r="C29" t="s">
        <v>75</v>
      </c>
      <c r="D29" s="1" t="s">
        <v>76</v>
      </c>
      <c r="E29">
        <v>1</v>
      </c>
      <c r="F29" t="s">
        <v>77</v>
      </c>
    </row>
    <row r="30" spans="1:6" x14ac:dyDescent="0.3">
      <c r="A30">
        <v>170</v>
      </c>
      <c r="B30" t="s">
        <v>91</v>
      </c>
      <c r="C30" t="s">
        <v>79</v>
      </c>
      <c r="E30">
        <v>2</v>
      </c>
      <c r="F30" t="s">
        <v>78</v>
      </c>
    </row>
    <row r="31" spans="1:6" x14ac:dyDescent="0.3">
      <c r="A31">
        <v>170</v>
      </c>
      <c r="B31" t="s">
        <v>92</v>
      </c>
      <c r="C31" t="s">
        <v>80</v>
      </c>
      <c r="E31">
        <v>3</v>
      </c>
      <c r="F31" t="s">
        <v>132</v>
      </c>
    </row>
    <row r="32" spans="1:6" x14ac:dyDescent="0.3">
      <c r="A32">
        <v>170</v>
      </c>
      <c r="B32" t="s">
        <v>92</v>
      </c>
      <c r="C32" t="s">
        <v>80</v>
      </c>
      <c r="E32">
        <v>1</v>
      </c>
      <c r="F32" t="s">
        <v>133</v>
      </c>
    </row>
    <row r="33" spans="1:6" x14ac:dyDescent="0.3">
      <c r="A33">
        <v>170</v>
      </c>
      <c r="B33" t="s">
        <v>93</v>
      </c>
      <c r="C33" t="s">
        <v>81</v>
      </c>
      <c r="D33" s="1" t="s">
        <v>82</v>
      </c>
      <c r="E33">
        <v>1</v>
      </c>
      <c r="F33" t="s">
        <v>83</v>
      </c>
    </row>
    <row r="34" spans="1:6" x14ac:dyDescent="0.3">
      <c r="A34">
        <v>170</v>
      </c>
      <c r="B34" t="s">
        <v>94</v>
      </c>
      <c r="C34" t="s">
        <v>84</v>
      </c>
      <c r="D34" s="1" t="s">
        <v>36</v>
      </c>
      <c r="E34">
        <v>1</v>
      </c>
      <c r="F34" t="s">
        <v>85</v>
      </c>
    </row>
    <row r="35" spans="1:6" x14ac:dyDescent="0.3">
      <c r="A35">
        <v>170</v>
      </c>
      <c r="B35" t="s">
        <v>26</v>
      </c>
      <c r="C35" t="s">
        <v>88</v>
      </c>
      <c r="D35" s="1" t="s">
        <v>89</v>
      </c>
      <c r="E35">
        <v>1</v>
      </c>
      <c r="F35" t="s">
        <v>12</v>
      </c>
    </row>
    <row r="36" spans="1:6" x14ac:dyDescent="0.3">
      <c r="A36">
        <v>170</v>
      </c>
      <c r="B36" t="s">
        <v>28</v>
      </c>
      <c r="C36" t="s">
        <v>72</v>
      </c>
      <c r="D36" s="1" t="s">
        <v>36</v>
      </c>
      <c r="E36">
        <f>16+9</f>
        <v>25</v>
      </c>
      <c r="F36" t="s">
        <v>12</v>
      </c>
    </row>
    <row r="37" spans="1:6" x14ac:dyDescent="0.3">
      <c r="A37">
        <v>170</v>
      </c>
      <c r="B37" t="s">
        <v>136</v>
      </c>
      <c r="C37" t="s">
        <v>95</v>
      </c>
      <c r="E37">
        <v>10</v>
      </c>
      <c r="F37" t="s">
        <v>96</v>
      </c>
    </row>
    <row r="38" spans="1:6" x14ac:dyDescent="0.3">
      <c r="A38">
        <v>170</v>
      </c>
      <c r="B38" t="s">
        <v>64</v>
      </c>
      <c r="C38" t="s">
        <v>97</v>
      </c>
      <c r="D38" s="1" t="s">
        <v>98</v>
      </c>
      <c r="E38">
        <v>1</v>
      </c>
      <c r="F38" t="s">
        <v>49</v>
      </c>
    </row>
    <row r="39" spans="1:6" x14ac:dyDescent="0.3">
      <c r="A39">
        <v>170</v>
      </c>
      <c r="B39" t="s">
        <v>104</v>
      </c>
      <c r="C39" t="s">
        <v>99</v>
      </c>
      <c r="D39" s="1" t="s">
        <v>100</v>
      </c>
      <c r="E39">
        <v>1</v>
      </c>
      <c r="F39" t="s">
        <v>49</v>
      </c>
    </row>
    <row r="40" spans="1:6" x14ac:dyDescent="0.3">
      <c r="A40">
        <v>170</v>
      </c>
      <c r="B40" t="s">
        <v>104</v>
      </c>
      <c r="C40" t="s">
        <v>99</v>
      </c>
      <c r="D40" s="1" t="s">
        <v>100</v>
      </c>
      <c r="E40">
        <v>1</v>
      </c>
      <c r="F40" t="s">
        <v>86</v>
      </c>
    </row>
    <row r="41" spans="1:6" x14ac:dyDescent="0.3">
      <c r="A41">
        <v>170</v>
      </c>
      <c r="B41" t="s">
        <v>26</v>
      </c>
      <c r="C41" t="s">
        <v>101</v>
      </c>
      <c r="D41" s="1" t="s">
        <v>102</v>
      </c>
      <c r="E41">
        <v>1</v>
      </c>
      <c r="F41" t="s">
        <v>103</v>
      </c>
    </row>
    <row r="42" spans="1:6" x14ac:dyDescent="0.3">
      <c r="A42">
        <v>170</v>
      </c>
      <c r="B42" t="s">
        <v>134</v>
      </c>
      <c r="C42" t="s">
        <v>105</v>
      </c>
      <c r="D42" s="1" t="s">
        <v>109</v>
      </c>
      <c r="E42">
        <v>3</v>
      </c>
      <c r="F42" t="s">
        <v>108</v>
      </c>
    </row>
    <row r="43" spans="1:6" x14ac:dyDescent="0.3">
      <c r="A43">
        <v>170</v>
      </c>
      <c r="B43" t="s">
        <v>134</v>
      </c>
      <c r="C43" t="s">
        <v>106</v>
      </c>
      <c r="D43" s="1" t="s">
        <v>107</v>
      </c>
      <c r="E43">
        <v>7</v>
      </c>
      <c r="F43" t="s">
        <v>110</v>
      </c>
    </row>
    <row r="44" spans="1:6" x14ac:dyDescent="0.3">
      <c r="A44">
        <v>170</v>
      </c>
      <c r="B44" t="s">
        <v>134</v>
      </c>
      <c r="C44" t="s">
        <v>111</v>
      </c>
      <c r="D44" s="1" t="s">
        <v>109</v>
      </c>
      <c r="E44">
        <v>1</v>
      </c>
      <c r="F44" t="s">
        <v>108</v>
      </c>
    </row>
    <row r="45" spans="1:6" x14ac:dyDescent="0.3">
      <c r="A45">
        <v>170</v>
      </c>
      <c r="B45" t="s">
        <v>134</v>
      </c>
      <c r="C45" t="s">
        <v>112</v>
      </c>
      <c r="D45" s="1" t="s">
        <v>113</v>
      </c>
      <c r="E45">
        <v>5</v>
      </c>
      <c r="F45" t="s">
        <v>110</v>
      </c>
    </row>
    <row r="46" spans="1:6" x14ac:dyDescent="0.3">
      <c r="A46">
        <v>170</v>
      </c>
      <c r="B46" t="s">
        <v>135</v>
      </c>
      <c r="C46" t="s">
        <v>114</v>
      </c>
      <c r="E46">
        <v>3</v>
      </c>
      <c r="F46" t="s">
        <v>108</v>
      </c>
    </row>
    <row r="47" spans="1:6" x14ac:dyDescent="0.3">
      <c r="A47">
        <v>170</v>
      </c>
      <c r="B47" t="s">
        <v>136</v>
      </c>
      <c r="C47" t="s">
        <v>115</v>
      </c>
      <c r="D47" s="2">
        <v>3</v>
      </c>
      <c r="E47">
        <v>5</v>
      </c>
    </row>
    <row r="48" spans="1:6" x14ac:dyDescent="0.3">
      <c r="A48">
        <v>170</v>
      </c>
      <c r="B48" t="s">
        <v>137</v>
      </c>
      <c r="C48" t="s">
        <v>116</v>
      </c>
      <c r="E48">
        <v>1</v>
      </c>
      <c r="F48" t="s">
        <v>120</v>
      </c>
    </row>
    <row r="49" spans="1:6" x14ac:dyDescent="0.3">
      <c r="A49">
        <v>170</v>
      </c>
      <c r="B49" t="s">
        <v>138</v>
      </c>
      <c r="C49" t="s">
        <v>117</v>
      </c>
      <c r="E49">
        <v>1</v>
      </c>
      <c r="F49" t="s">
        <v>118</v>
      </c>
    </row>
    <row r="50" spans="1:6" x14ac:dyDescent="0.3">
      <c r="A50">
        <v>170</v>
      </c>
      <c r="B50" t="s">
        <v>135</v>
      </c>
      <c r="C50" t="s">
        <v>121</v>
      </c>
      <c r="D50" s="1" t="s">
        <v>122</v>
      </c>
      <c r="E50">
        <v>4</v>
      </c>
      <c r="F50" t="s">
        <v>126</v>
      </c>
    </row>
    <row r="51" spans="1:6" x14ac:dyDescent="0.3">
      <c r="A51">
        <v>170</v>
      </c>
      <c r="B51" t="s">
        <v>140</v>
      </c>
      <c r="C51" t="s">
        <v>123</v>
      </c>
      <c r="E51">
        <v>3</v>
      </c>
      <c r="F51" t="s">
        <v>108</v>
      </c>
    </row>
    <row r="52" spans="1:6" x14ac:dyDescent="0.3">
      <c r="A52">
        <v>170</v>
      </c>
      <c r="B52" t="s">
        <v>140</v>
      </c>
      <c r="C52" t="s">
        <v>124</v>
      </c>
      <c r="E52">
        <v>1</v>
      </c>
      <c r="F52" t="s">
        <v>125</v>
      </c>
    </row>
    <row r="53" spans="1:6" x14ac:dyDescent="0.3">
      <c r="A53">
        <v>170</v>
      </c>
      <c r="B53" t="s">
        <v>139</v>
      </c>
      <c r="C53" t="s">
        <v>127</v>
      </c>
      <c r="E53">
        <v>1</v>
      </c>
      <c r="F53" t="s">
        <v>128</v>
      </c>
    </row>
    <row r="54" spans="1:6" x14ac:dyDescent="0.3">
      <c r="A54">
        <v>170</v>
      </c>
      <c r="B54" t="s">
        <v>65</v>
      </c>
      <c r="C54" t="s">
        <v>129</v>
      </c>
      <c r="D54" s="1" t="s">
        <v>130</v>
      </c>
      <c r="E54">
        <v>1</v>
      </c>
      <c r="F54" t="s">
        <v>131</v>
      </c>
    </row>
    <row r="55" spans="1:6" x14ac:dyDescent="0.3">
      <c r="A55">
        <v>170</v>
      </c>
      <c r="B55" t="s">
        <v>166</v>
      </c>
      <c r="C55" t="s">
        <v>141</v>
      </c>
      <c r="D55" s="1" t="s">
        <v>142</v>
      </c>
      <c r="E55">
        <v>1</v>
      </c>
      <c r="F55" t="s">
        <v>143</v>
      </c>
    </row>
    <row r="56" spans="1:6" x14ac:dyDescent="0.3">
      <c r="A56">
        <v>170</v>
      </c>
      <c r="B56" t="s">
        <v>167</v>
      </c>
      <c r="C56" t="s">
        <v>144</v>
      </c>
      <c r="D56" s="1" t="s">
        <v>148</v>
      </c>
      <c r="E56">
        <v>1</v>
      </c>
      <c r="F56" t="s">
        <v>145</v>
      </c>
    </row>
    <row r="57" spans="1:6" x14ac:dyDescent="0.3">
      <c r="A57">
        <v>170</v>
      </c>
      <c r="B57" t="s">
        <v>167</v>
      </c>
      <c r="C57" t="s">
        <v>146</v>
      </c>
      <c r="D57" s="1" t="s">
        <v>147</v>
      </c>
      <c r="E57">
        <v>1</v>
      </c>
      <c r="F57" t="s">
        <v>145</v>
      </c>
    </row>
    <row r="58" spans="1:6" x14ac:dyDescent="0.3">
      <c r="A58">
        <v>170</v>
      </c>
      <c r="B58" t="s">
        <v>92</v>
      </c>
      <c r="C58" t="s">
        <v>149</v>
      </c>
      <c r="E58">
        <v>2</v>
      </c>
      <c r="F58" t="s">
        <v>150</v>
      </c>
    </row>
    <row r="59" spans="1:6" x14ac:dyDescent="0.3">
      <c r="A59">
        <v>170</v>
      </c>
      <c r="B59" t="s">
        <v>168</v>
      </c>
      <c r="C59" t="s">
        <v>151</v>
      </c>
      <c r="D59" s="1" t="s">
        <v>152</v>
      </c>
      <c r="E59">
        <v>2</v>
      </c>
      <c r="F59" t="s">
        <v>153</v>
      </c>
    </row>
    <row r="60" spans="1:6" x14ac:dyDescent="0.3">
      <c r="A60">
        <v>170</v>
      </c>
      <c r="B60" t="s">
        <v>92</v>
      </c>
      <c r="C60" t="s">
        <v>149</v>
      </c>
      <c r="E60">
        <v>1</v>
      </c>
      <c r="F60" t="s">
        <v>154</v>
      </c>
    </row>
    <row r="61" spans="1:6" x14ac:dyDescent="0.3">
      <c r="A61">
        <v>170</v>
      </c>
      <c r="B61" t="s">
        <v>30</v>
      </c>
      <c r="C61" t="s">
        <v>157</v>
      </c>
      <c r="D61" s="1" t="s">
        <v>155</v>
      </c>
      <c r="E61">
        <v>1</v>
      </c>
      <c r="F61" t="s">
        <v>156</v>
      </c>
    </row>
    <row r="62" spans="1:6" x14ac:dyDescent="0.3">
      <c r="A62">
        <v>170</v>
      </c>
      <c r="B62" t="s">
        <v>137</v>
      </c>
      <c r="C62" t="s">
        <v>170</v>
      </c>
      <c r="D62" s="1" t="s">
        <v>171</v>
      </c>
      <c r="E62">
        <v>1</v>
      </c>
      <c r="F62" t="s">
        <v>172</v>
      </c>
    </row>
    <row r="63" spans="1:6" x14ac:dyDescent="0.3">
      <c r="A63">
        <v>170</v>
      </c>
      <c r="B63" t="s">
        <v>137</v>
      </c>
      <c r="C63" t="s">
        <v>158</v>
      </c>
      <c r="D63" s="1" t="s">
        <v>113</v>
      </c>
      <c r="E63">
        <v>2</v>
      </c>
      <c r="F63" t="s">
        <v>159</v>
      </c>
    </row>
    <row r="64" spans="1:6" x14ac:dyDescent="0.3">
      <c r="A64">
        <v>170</v>
      </c>
      <c r="B64" t="s">
        <v>137</v>
      </c>
      <c r="C64" t="s">
        <v>174</v>
      </c>
      <c r="D64" s="1" t="s">
        <v>173</v>
      </c>
      <c r="E64">
        <v>1</v>
      </c>
      <c r="F64" t="s">
        <v>175</v>
      </c>
    </row>
    <row r="65" spans="1:6" x14ac:dyDescent="0.3">
      <c r="A65">
        <v>170</v>
      </c>
      <c r="B65" t="s">
        <v>104</v>
      </c>
      <c r="C65" t="s">
        <v>176</v>
      </c>
      <c r="D65" s="1" t="s">
        <v>46</v>
      </c>
      <c r="E65">
        <v>1</v>
      </c>
      <c r="F65" t="s">
        <v>177</v>
      </c>
    </row>
    <row r="66" spans="1:6" x14ac:dyDescent="0.3">
      <c r="A66">
        <v>170</v>
      </c>
      <c r="B66" t="s">
        <v>136</v>
      </c>
      <c r="C66" t="s">
        <v>178</v>
      </c>
      <c r="E66">
        <v>6</v>
      </c>
      <c r="F66" t="s">
        <v>179</v>
      </c>
    </row>
    <row r="67" spans="1:6" x14ac:dyDescent="0.3">
      <c r="A67">
        <v>170</v>
      </c>
      <c r="B67" t="s">
        <v>137</v>
      </c>
      <c r="C67" t="s">
        <v>184</v>
      </c>
      <c r="F67" t="s">
        <v>185</v>
      </c>
    </row>
    <row r="68" spans="1:6" x14ac:dyDescent="0.3">
      <c r="A68">
        <v>170</v>
      </c>
      <c r="B68" t="s">
        <v>186</v>
      </c>
      <c r="C68" t="s">
        <v>180</v>
      </c>
      <c r="D68" s="1" t="s">
        <v>183</v>
      </c>
      <c r="E68">
        <v>2</v>
      </c>
      <c r="F68" t="s">
        <v>181</v>
      </c>
    </row>
    <row r="69" spans="1:6" x14ac:dyDescent="0.3">
      <c r="A69">
        <v>171</v>
      </c>
      <c r="B69" t="s">
        <v>136</v>
      </c>
      <c r="C69" t="s">
        <v>160</v>
      </c>
      <c r="D69" s="1" t="s">
        <v>182</v>
      </c>
      <c r="E69">
        <v>13</v>
      </c>
      <c r="F69" t="s">
        <v>169</v>
      </c>
    </row>
    <row r="70" spans="1:6" x14ac:dyDescent="0.3">
      <c r="A70">
        <v>171</v>
      </c>
      <c r="B70" t="s">
        <v>136</v>
      </c>
      <c r="C70" t="s">
        <v>161</v>
      </c>
      <c r="E70">
        <v>50</v>
      </c>
    </row>
    <row r="71" spans="1:6" x14ac:dyDescent="0.3">
      <c r="A71">
        <v>171</v>
      </c>
      <c r="B71" t="s">
        <v>136</v>
      </c>
      <c r="C71" t="s">
        <v>162</v>
      </c>
      <c r="E71">
        <v>10</v>
      </c>
    </row>
    <row r="72" spans="1:6" x14ac:dyDescent="0.3">
      <c r="A72">
        <v>171</v>
      </c>
      <c r="B72" t="s">
        <v>136</v>
      </c>
      <c r="C72" t="s">
        <v>163</v>
      </c>
      <c r="E72">
        <v>10</v>
      </c>
    </row>
    <row r="73" spans="1:6" x14ac:dyDescent="0.3">
      <c r="A73">
        <v>171</v>
      </c>
      <c r="B73" t="s">
        <v>136</v>
      </c>
      <c r="C73" t="s">
        <v>164</v>
      </c>
      <c r="E73">
        <v>12</v>
      </c>
    </row>
    <row r="74" spans="1:6" x14ac:dyDescent="0.3">
      <c r="A74">
        <v>171</v>
      </c>
      <c r="B74" t="s">
        <v>136</v>
      </c>
      <c r="C74" t="s">
        <v>165</v>
      </c>
      <c r="E74">
        <v>6</v>
      </c>
    </row>
    <row r="75" spans="1:6" x14ac:dyDescent="0.3">
      <c r="A75">
        <v>171</v>
      </c>
      <c r="B75" t="s">
        <v>136</v>
      </c>
      <c r="C75" t="s">
        <v>165</v>
      </c>
      <c r="E75">
        <v>28</v>
      </c>
    </row>
    <row r="76" spans="1:6" x14ac:dyDescent="0.3">
      <c r="A76">
        <v>172</v>
      </c>
      <c r="B76" t="s">
        <v>136</v>
      </c>
      <c r="C76" t="s">
        <v>187</v>
      </c>
      <c r="D76" s="1" t="s">
        <v>188</v>
      </c>
      <c r="E76">
        <v>6</v>
      </c>
    </row>
    <row r="77" spans="1:6" x14ac:dyDescent="0.3">
      <c r="A77">
        <v>173</v>
      </c>
      <c r="B77" t="s">
        <v>136</v>
      </c>
      <c r="C77" t="s">
        <v>187</v>
      </c>
      <c r="D77" s="3">
        <v>0.1</v>
      </c>
      <c r="E77">
        <v>3</v>
      </c>
    </row>
    <row r="78" spans="1:6" x14ac:dyDescent="0.3">
      <c r="A78">
        <v>173</v>
      </c>
      <c r="B78" t="s">
        <v>136</v>
      </c>
      <c r="C78" t="s">
        <v>187</v>
      </c>
      <c r="D78" s="3">
        <v>0.05</v>
      </c>
      <c r="E78">
        <v>3</v>
      </c>
    </row>
    <row r="79" spans="1:6" x14ac:dyDescent="0.3">
      <c r="A79">
        <v>174</v>
      </c>
      <c r="B79" t="s">
        <v>136</v>
      </c>
      <c r="C79" t="s">
        <v>187</v>
      </c>
      <c r="D79" s="3">
        <v>0.05</v>
      </c>
      <c r="E79">
        <v>7</v>
      </c>
    </row>
    <row r="80" spans="1:6" x14ac:dyDescent="0.3">
      <c r="A80">
        <v>175</v>
      </c>
      <c r="B80" t="s">
        <v>136</v>
      </c>
      <c r="C80" t="s">
        <v>187</v>
      </c>
      <c r="D80" s="1" t="s">
        <v>189</v>
      </c>
      <c r="E80">
        <v>13</v>
      </c>
    </row>
    <row r="81" spans="1:6" x14ac:dyDescent="0.3">
      <c r="A81">
        <v>176</v>
      </c>
      <c r="B81" t="s">
        <v>136</v>
      </c>
      <c r="C81" t="s">
        <v>190</v>
      </c>
      <c r="D81" s="1" t="s">
        <v>191</v>
      </c>
      <c r="E81">
        <v>4</v>
      </c>
    </row>
    <row r="82" spans="1:6" x14ac:dyDescent="0.3">
      <c r="A82">
        <v>176</v>
      </c>
      <c r="B82" t="s">
        <v>136</v>
      </c>
      <c r="C82" t="s">
        <v>192</v>
      </c>
      <c r="D82" s="1" t="s">
        <v>193</v>
      </c>
      <c r="E82">
        <v>1</v>
      </c>
    </row>
    <row r="83" spans="1:6" x14ac:dyDescent="0.3">
      <c r="A83">
        <v>176</v>
      </c>
      <c r="B83" t="s">
        <v>136</v>
      </c>
      <c r="C83" t="s">
        <v>194</v>
      </c>
      <c r="D83" s="1" t="s">
        <v>195</v>
      </c>
      <c r="E83">
        <v>1</v>
      </c>
    </row>
    <row r="84" spans="1:6" x14ac:dyDescent="0.3">
      <c r="A84">
        <v>176</v>
      </c>
      <c r="B84" t="s">
        <v>136</v>
      </c>
      <c r="C84" t="s">
        <v>196</v>
      </c>
      <c r="D84" s="1" t="s">
        <v>197</v>
      </c>
      <c r="E84">
        <v>3</v>
      </c>
    </row>
    <row r="85" spans="1:6" x14ac:dyDescent="0.3">
      <c r="A85">
        <v>176</v>
      </c>
      <c r="B85" t="s">
        <v>136</v>
      </c>
      <c r="C85" t="s">
        <v>198</v>
      </c>
      <c r="D85" s="1" t="s">
        <v>199</v>
      </c>
      <c r="E85">
        <v>1</v>
      </c>
    </row>
    <row r="86" spans="1:6" x14ac:dyDescent="0.3">
      <c r="A86">
        <v>176</v>
      </c>
      <c r="B86" t="s">
        <v>136</v>
      </c>
      <c r="C86" t="s">
        <v>200</v>
      </c>
      <c r="D86" s="1" t="s">
        <v>201</v>
      </c>
      <c r="E86">
        <v>1</v>
      </c>
    </row>
    <row r="87" spans="1:6" x14ac:dyDescent="0.3">
      <c r="A87">
        <v>177</v>
      </c>
      <c r="B87" t="s">
        <v>136</v>
      </c>
      <c r="C87" t="s">
        <v>202</v>
      </c>
      <c r="D87" s="4">
        <v>4.4999999999999997E-3</v>
      </c>
      <c r="E87">
        <v>12</v>
      </c>
    </row>
    <row r="88" spans="1:6" x14ac:dyDescent="0.3">
      <c r="A88">
        <v>178</v>
      </c>
      <c r="B88" t="s">
        <v>136</v>
      </c>
      <c r="C88" t="s">
        <v>205</v>
      </c>
      <c r="D88" s="1" t="s">
        <v>203</v>
      </c>
      <c r="E88">
        <f>47+5</f>
        <v>52</v>
      </c>
    </row>
    <row r="89" spans="1:6" x14ac:dyDescent="0.3">
      <c r="A89">
        <v>178</v>
      </c>
      <c r="B89" t="s">
        <v>136</v>
      </c>
      <c r="C89" t="s">
        <v>205</v>
      </c>
      <c r="D89" s="1" t="s">
        <v>204</v>
      </c>
      <c r="E89">
        <f>6+2</f>
        <v>8</v>
      </c>
    </row>
    <row r="90" spans="1:6" x14ac:dyDescent="0.3">
      <c r="A90">
        <v>178</v>
      </c>
      <c r="B90" t="s">
        <v>136</v>
      </c>
      <c r="C90" t="s">
        <v>205</v>
      </c>
      <c r="D90" s="1" t="s">
        <v>219</v>
      </c>
      <c r="E90">
        <v>1</v>
      </c>
    </row>
    <row r="91" spans="1:6" x14ac:dyDescent="0.3">
      <c r="A91">
        <v>178</v>
      </c>
      <c r="B91" t="s">
        <v>136</v>
      </c>
      <c r="C91" t="s">
        <v>206</v>
      </c>
      <c r="D91" s="1" t="s">
        <v>207</v>
      </c>
      <c r="E91">
        <v>1</v>
      </c>
    </row>
    <row r="92" spans="1:6" x14ac:dyDescent="0.3">
      <c r="A92">
        <v>178</v>
      </c>
      <c r="B92" t="s">
        <v>136</v>
      </c>
      <c r="C92" t="s">
        <v>232</v>
      </c>
      <c r="E92">
        <v>6</v>
      </c>
      <c r="F92" t="s">
        <v>216</v>
      </c>
    </row>
    <row r="93" spans="1:6" x14ac:dyDescent="0.3">
      <c r="A93">
        <v>178</v>
      </c>
      <c r="B93" t="s">
        <v>136</v>
      </c>
      <c r="C93" t="s">
        <v>232</v>
      </c>
      <c r="E93">
        <v>1</v>
      </c>
      <c r="F93" t="s">
        <v>218</v>
      </c>
    </row>
    <row r="94" spans="1:6" x14ac:dyDescent="0.3">
      <c r="A94">
        <v>178</v>
      </c>
      <c r="B94" t="s">
        <v>136</v>
      </c>
      <c r="C94" t="s">
        <v>233</v>
      </c>
      <c r="E94">
        <v>2</v>
      </c>
      <c r="F94" t="s">
        <v>215</v>
      </c>
    </row>
    <row r="95" spans="1:6" x14ac:dyDescent="0.3">
      <c r="A95">
        <v>178</v>
      </c>
      <c r="B95" t="s">
        <v>136</v>
      </c>
      <c r="C95" t="s">
        <v>238</v>
      </c>
      <c r="E95">
        <v>20</v>
      </c>
      <c r="F95" t="s">
        <v>234</v>
      </c>
    </row>
    <row r="96" spans="1:6" x14ac:dyDescent="0.3">
      <c r="A96">
        <v>178</v>
      </c>
      <c r="B96" t="s">
        <v>136</v>
      </c>
      <c r="C96" t="s">
        <v>235</v>
      </c>
      <c r="E96">
        <v>1</v>
      </c>
      <c r="F96" t="s">
        <v>236</v>
      </c>
    </row>
    <row r="97" spans="1:6" x14ac:dyDescent="0.3">
      <c r="A97">
        <v>178</v>
      </c>
      <c r="B97" t="s">
        <v>136</v>
      </c>
      <c r="C97" t="s">
        <v>238</v>
      </c>
      <c r="E97">
        <v>2</v>
      </c>
      <c r="F97" t="s">
        <v>237</v>
      </c>
    </row>
    <row r="98" spans="1:6" x14ac:dyDescent="0.3">
      <c r="A98">
        <v>179</v>
      </c>
      <c r="B98" t="s">
        <v>136</v>
      </c>
      <c r="C98" t="s">
        <v>208</v>
      </c>
      <c r="D98" s="1" t="s">
        <v>209</v>
      </c>
      <c r="E98" s="5">
        <v>16</v>
      </c>
    </row>
    <row r="99" spans="1:6" x14ac:dyDescent="0.3">
      <c r="A99">
        <v>200</v>
      </c>
      <c r="B99" t="s">
        <v>136</v>
      </c>
      <c r="C99" t="s">
        <v>208</v>
      </c>
      <c r="D99" s="1" t="s">
        <v>209</v>
      </c>
      <c r="E99" s="5">
        <v>24</v>
      </c>
    </row>
    <row r="100" spans="1:6" x14ac:dyDescent="0.3">
      <c r="A100">
        <v>201</v>
      </c>
      <c r="B100" t="s">
        <v>136</v>
      </c>
      <c r="C100" t="s">
        <v>208</v>
      </c>
      <c r="D100" s="1" t="s">
        <v>209</v>
      </c>
      <c r="E100" s="5">
        <v>87</v>
      </c>
    </row>
    <row r="101" spans="1:6" x14ac:dyDescent="0.3">
      <c r="A101">
        <v>202</v>
      </c>
      <c r="B101" t="s">
        <v>136</v>
      </c>
      <c r="C101" t="s">
        <v>208</v>
      </c>
      <c r="D101" s="1" t="s">
        <v>209</v>
      </c>
      <c r="E101" s="5">
        <v>32</v>
      </c>
    </row>
    <row r="102" spans="1:6" x14ac:dyDescent="0.3">
      <c r="A102">
        <v>203</v>
      </c>
      <c r="B102" t="s">
        <v>136</v>
      </c>
      <c r="C102" t="s">
        <v>208</v>
      </c>
      <c r="D102" s="1" t="s">
        <v>209</v>
      </c>
      <c r="E102" s="5">
        <v>65</v>
      </c>
    </row>
    <row r="103" spans="1:6" x14ac:dyDescent="0.3">
      <c r="A103">
        <v>204</v>
      </c>
      <c r="B103" t="s">
        <v>136</v>
      </c>
      <c r="C103" t="s">
        <v>208</v>
      </c>
      <c r="D103" s="1" t="s">
        <v>210</v>
      </c>
      <c r="E103" s="5">
        <v>28</v>
      </c>
    </row>
    <row r="104" spans="1:6" x14ac:dyDescent="0.3">
      <c r="A104">
        <v>205</v>
      </c>
      <c r="B104" t="s">
        <v>136</v>
      </c>
      <c r="C104" t="s">
        <v>208</v>
      </c>
      <c r="D104" s="1" t="s">
        <v>211</v>
      </c>
      <c r="E104" s="5">
        <v>14</v>
      </c>
    </row>
    <row r="105" spans="1:6" x14ac:dyDescent="0.3">
      <c r="A105">
        <v>206</v>
      </c>
      <c r="B105" t="s">
        <v>136</v>
      </c>
      <c r="C105" t="s">
        <v>208</v>
      </c>
      <c r="D105" s="1" t="s">
        <v>211</v>
      </c>
      <c r="E105" s="5">
        <v>14</v>
      </c>
    </row>
    <row r="106" spans="1:6" x14ac:dyDescent="0.3">
      <c r="A106">
        <v>207</v>
      </c>
      <c r="B106" t="s">
        <v>136</v>
      </c>
      <c r="C106" t="s">
        <v>208</v>
      </c>
      <c r="D106" s="1" t="s">
        <v>212</v>
      </c>
      <c r="E106" s="5">
        <v>5</v>
      </c>
    </row>
    <row r="107" spans="1:6" x14ac:dyDescent="0.3">
      <c r="A107">
        <v>208</v>
      </c>
      <c r="B107" t="s">
        <v>136</v>
      </c>
      <c r="C107" t="s">
        <v>208</v>
      </c>
      <c r="D107" s="1" t="s">
        <v>212</v>
      </c>
      <c r="E107" s="5">
        <v>8</v>
      </c>
    </row>
    <row r="108" spans="1:6" x14ac:dyDescent="0.3">
      <c r="A108">
        <v>209</v>
      </c>
      <c r="B108" t="s">
        <v>136</v>
      </c>
      <c r="C108" t="s">
        <v>208</v>
      </c>
      <c r="D108" s="1" t="s">
        <v>212</v>
      </c>
      <c r="E108" s="5">
        <v>8</v>
      </c>
    </row>
    <row r="109" spans="1:6" x14ac:dyDescent="0.3">
      <c r="A109">
        <v>210</v>
      </c>
      <c r="B109" t="s">
        <v>136</v>
      </c>
      <c r="C109" t="s">
        <v>208</v>
      </c>
      <c r="D109" s="1" t="s">
        <v>213</v>
      </c>
      <c r="E109" s="5">
        <v>38</v>
      </c>
    </row>
    <row r="110" spans="1:6" x14ac:dyDescent="0.3">
      <c r="A110">
        <v>211</v>
      </c>
      <c r="B110" t="s">
        <v>136</v>
      </c>
      <c r="C110" t="s">
        <v>208</v>
      </c>
      <c r="D110" s="1" t="s">
        <v>214</v>
      </c>
      <c r="E110" s="5">
        <v>33</v>
      </c>
    </row>
    <row r="111" spans="1:6" x14ac:dyDescent="0.3">
      <c r="A111">
        <v>212</v>
      </c>
      <c r="B111" t="s">
        <v>136</v>
      </c>
      <c r="C111" t="s">
        <v>221</v>
      </c>
      <c r="D111" s="1" t="s">
        <v>193</v>
      </c>
      <c r="E111" s="5">
        <v>3</v>
      </c>
    </row>
    <row r="112" spans="1:6" x14ac:dyDescent="0.3">
      <c r="A112">
        <v>213</v>
      </c>
      <c r="B112" t="s">
        <v>136</v>
      </c>
      <c r="C112" t="s">
        <v>221</v>
      </c>
      <c r="D112" s="1" t="s">
        <v>217</v>
      </c>
      <c r="E112" s="5">
        <v>1</v>
      </c>
    </row>
    <row r="113" spans="1:6" x14ac:dyDescent="0.3">
      <c r="A113">
        <v>214</v>
      </c>
      <c r="B113" t="s">
        <v>136</v>
      </c>
      <c r="C113" t="s">
        <v>220</v>
      </c>
      <c r="D113" s="1" t="s">
        <v>217</v>
      </c>
      <c r="E113" s="5">
        <v>4</v>
      </c>
    </row>
    <row r="114" spans="1:6" x14ac:dyDescent="0.3">
      <c r="A114">
        <v>215</v>
      </c>
      <c r="B114" t="s">
        <v>136</v>
      </c>
      <c r="C114" t="s">
        <v>208</v>
      </c>
      <c r="D114" s="1" t="s">
        <v>209</v>
      </c>
      <c r="E114" s="5">
        <v>17</v>
      </c>
    </row>
    <row r="115" spans="1:6" x14ac:dyDescent="0.3">
      <c r="A115">
        <v>216</v>
      </c>
      <c r="B115" t="s">
        <v>136</v>
      </c>
      <c r="C115" t="s">
        <v>208</v>
      </c>
      <c r="D115" s="1" t="s">
        <v>209</v>
      </c>
      <c r="E115" s="5">
        <v>28</v>
      </c>
    </row>
    <row r="116" spans="1:6" x14ac:dyDescent="0.3">
      <c r="A116">
        <v>217</v>
      </c>
      <c r="B116" t="s">
        <v>136</v>
      </c>
      <c r="C116" t="s">
        <v>208</v>
      </c>
      <c r="D116" s="1" t="s">
        <v>222</v>
      </c>
      <c r="E116" s="5">
        <v>12</v>
      </c>
    </row>
    <row r="117" spans="1:6" x14ac:dyDescent="0.3">
      <c r="A117">
        <v>218</v>
      </c>
      <c r="B117" t="s">
        <v>136</v>
      </c>
      <c r="C117" t="s">
        <v>221</v>
      </c>
      <c r="D117" s="1" t="s">
        <v>223</v>
      </c>
      <c r="E117" s="5">
        <v>1</v>
      </c>
    </row>
    <row r="118" spans="1:6" x14ac:dyDescent="0.3">
      <c r="A118">
        <v>219</v>
      </c>
      <c r="B118" t="s">
        <v>136</v>
      </c>
      <c r="C118" t="s">
        <v>220</v>
      </c>
      <c r="D118" s="1" t="s">
        <v>223</v>
      </c>
      <c r="E118" s="5">
        <v>1</v>
      </c>
    </row>
    <row r="119" spans="1:6" x14ac:dyDescent="0.3">
      <c r="A119">
        <v>220</v>
      </c>
      <c r="B119" t="s">
        <v>136</v>
      </c>
      <c r="C119" t="s">
        <v>224</v>
      </c>
      <c r="D119" s="1" t="s">
        <v>225</v>
      </c>
      <c r="E119" s="5">
        <v>204</v>
      </c>
      <c r="F119" s="5" t="s">
        <v>225</v>
      </c>
    </row>
    <row r="120" spans="1:6" x14ac:dyDescent="0.3">
      <c r="A120">
        <v>221</v>
      </c>
      <c r="B120" t="s">
        <v>136</v>
      </c>
      <c r="C120" t="s">
        <v>226</v>
      </c>
      <c r="E120" s="5">
        <v>1</v>
      </c>
    </row>
    <row r="121" spans="1:6" x14ac:dyDescent="0.3">
      <c r="A121">
        <v>222</v>
      </c>
      <c r="B121" t="s">
        <v>136</v>
      </c>
      <c r="C121" t="s">
        <v>227</v>
      </c>
      <c r="E121" s="5">
        <v>1</v>
      </c>
    </row>
    <row r="122" spans="1:6" x14ac:dyDescent="0.3">
      <c r="A122">
        <v>223</v>
      </c>
      <c r="B122" t="s">
        <v>136</v>
      </c>
      <c r="C122" t="s">
        <v>228</v>
      </c>
      <c r="D122" s="1" t="s">
        <v>119</v>
      </c>
      <c r="E122" s="5">
        <v>17</v>
      </c>
    </row>
    <row r="123" spans="1:6" x14ac:dyDescent="0.3">
      <c r="A123">
        <v>224</v>
      </c>
      <c r="B123" t="s">
        <v>136</v>
      </c>
      <c r="C123" t="s">
        <v>228</v>
      </c>
      <c r="D123" s="1" t="s">
        <v>229</v>
      </c>
      <c r="E123" s="5">
        <v>36</v>
      </c>
    </row>
    <row r="124" spans="1:6" x14ac:dyDescent="0.3">
      <c r="A124">
        <v>225</v>
      </c>
      <c r="B124" t="s">
        <v>136</v>
      </c>
      <c r="C124" t="s">
        <v>228</v>
      </c>
      <c r="D124" s="1" t="s">
        <v>230</v>
      </c>
      <c r="E124" s="5">
        <v>36</v>
      </c>
    </row>
    <row r="125" spans="1:6" x14ac:dyDescent="0.3">
      <c r="A125">
        <v>225</v>
      </c>
      <c r="B125" t="s">
        <v>136</v>
      </c>
      <c r="C125" t="s">
        <v>231</v>
      </c>
      <c r="D125" s="1" t="s">
        <v>230</v>
      </c>
      <c r="E125" s="5">
        <v>27</v>
      </c>
    </row>
    <row r="126" spans="1:6" x14ac:dyDescent="0.3">
      <c r="A126">
        <v>225</v>
      </c>
      <c r="B126" t="s">
        <v>136</v>
      </c>
      <c r="C126" t="s">
        <v>231</v>
      </c>
      <c r="D126" s="1" t="s">
        <v>229</v>
      </c>
      <c r="E126" s="5">
        <v>1</v>
      </c>
    </row>
    <row r="127" spans="1:6" x14ac:dyDescent="0.3">
      <c r="A127">
        <v>226</v>
      </c>
      <c r="B127" t="s">
        <v>240</v>
      </c>
      <c r="C127" t="s">
        <v>239</v>
      </c>
      <c r="E127" s="5">
        <v>11</v>
      </c>
    </row>
    <row r="128" spans="1:6" x14ac:dyDescent="0.3">
      <c r="A128">
        <v>227</v>
      </c>
      <c r="B128" t="s">
        <v>136</v>
      </c>
      <c r="C128" t="s">
        <v>241</v>
      </c>
      <c r="E128" s="5">
        <v>143</v>
      </c>
    </row>
    <row r="129" spans="1:6" x14ac:dyDescent="0.3">
      <c r="A129">
        <v>227</v>
      </c>
      <c r="B129" t="s">
        <v>136</v>
      </c>
      <c r="C129" t="s">
        <v>242</v>
      </c>
      <c r="E129" s="5">
        <v>1</v>
      </c>
    </row>
    <row r="130" spans="1:6" x14ac:dyDescent="0.3">
      <c r="A130">
        <v>228</v>
      </c>
      <c r="B130" t="s">
        <v>136</v>
      </c>
      <c r="C130" t="s">
        <v>244</v>
      </c>
      <c r="E130" s="5">
        <v>26</v>
      </c>
      <c r="F130" t="s">
        <v>243</v>
      </c>
    </row>
    <row r="131" spans="1:6" x14ac:dyDescent="0.3">
      <c r="A131">
        <v>229</v>
      </c>
      <c r="B131" t="s">
        <v>136</v>
      </c>
      <c r="C131" t="s">
        <v>244</v>
      </c>
      <c r="E131" s="5">
        <v>48</v>
      </c>
      <c r="F131" t="s">
        <v>243</v>
      </c>
    </row>
    <row r="132" spans="1:6" x14ac:dyDescent="0.3">
      <c r="A132">
        <v>240</v>
      </c>
      <c r="B132" t="s">
        <v>136</v>
      </c>
      <c r="C132" t="s">
        <v>241</v>
      </c>
      <c r="E132" s="5">
        <v>62</v>
      </c>
    </row>
    <row r="133" spans="1:6" x14ac:dyDescent="0.3">
      <c r="A133">
        <v>240</v>
      </c>
      <c r="B133" t="s">
        <v>136</v>
      </c>
      <c r="C133" t="s">
        <v>242</v>
      </c>
      <c r="E133" s="5">
        <v>3</v>
      </c>
    </row>
    <row r="134" spans="1:6" x14ac:dyDescent="0.3">
      <c r="A134">
        <v>241</v>
      </c>
      <c r="B134" t="s">
        <v>240</v>
      </c>
      <c r="C134" t="s">
        <v>245</v>
      </c>
      <c r="E134" s="5">
        <v>11</v>
      </c>
    </row>
    <row r="135" spans="1:6" x14ac:dyDescent="0.3">
      <c r="A135">
        <v>242</v>
      </c>
      <c r="B135" t="s">
        <v>136</v>
      </c>
      <c r="C135" t="s">
        <v>246</v>
      </c>
      <c r="D135" s="2" t="s">
        <v>250</v>
      </c>
      <c r="E135" s="5">
        <v>3</v>
      </c>
    </row>
    <row r="136" spans="1:6" x14ac:dyDescent="0.3">
      <c r="A136">
        <v>242</v>
      </c>
      <c r="B136" t="s">
        <v>136</v>
      </c>
      <c r="C136" t="s">
        <v>246</v>
      </c>
      <c r="D136" s="2" t="s">
        <v>247</v>
      </c>
      <c r="E136" s="5">
        <f>40+5</f>
        <v>45</v>
      </c>
    </row>
    <row r="137" spans="1:6" x14ac:dyDescent="0.3">
      <c r="A137">
        <v>242</v>
      </c>
      <c r="B137" t="s">
        <v>136</v>
      </c>
      <c r="C137" t="s">
        <v>246</v>
      </c>
      <c r="D137" s="2" t="s">
        <v>248</v>
      </c>
      <c r="E137" s="5">
        <f>44+3</f>
        <v>47</v>
      </c>
    </row>
    <row r="138" spans="1:6" x14ac:dyDescent="0.3">
      <c r="A138">
        <v>242</v>
      </c>
      <c r="B138" t="s">
        <v>136</v>
      </c>
      <c r="C138" t="s">
        <v>246</v>
      </c>
      <c r="D138" s="2" t="s">
        <v>249</v>
      </c>
      <c r="E138" s="5">
        <v>52</v>
      </c>
    </row>
    <row r="139" spans="1:6" x14ac:dyDescent="0.3">
      <c r="A139">
        <v>243</v>
      </c>
      <c r="B139" t="s">
        <v>136</v>
      </c>
      <c r="C139" t="s">
        <v>251</v>
      </c>
      <c r="D139" s="1" t="s">
        <v>252</v>
      </c>
      <c r="E139" s="5">
        <v>874</v>
      </c>
    </row>
    <row r="140" spans="1:6" x14ac:dyDescent="0.3">
      <c r="A140">
        <v>244</v>
      </c>
      <c r="B140" t="s">
        <v>136</v>
      </c>
      <c r="C140" t="s">
        <v>253</v>
      </c>
      <c r="D140" s="1" t="s">
        <v>254</v>
      </c>
      <c r="E140" s="5">
        <v>9</v>
      </c>
    </row>
    <row r="141" spans="1:6" x14ac:dyDescent="0.3">
      <c r="A141">
        <v>245</v>
      </c>
      <c r="B141" t="s">
        <v>136</v>
      </c>
      <c r="C141" t="s">
        <v>255</v>
      </c>
      <c r="D141" s="1" t="s">
        <v>257</v>
      </c>
      <c r="E141" s="5">
        <v>42</v>
      </c>
    </row>
    <row r="142" spans="1:6" x14ac:dyDescent="0.3">
      <c r="A142">
        <v>246</v>
      </c>
      <c r="B142" t="s">
        <v>136</v>
      </c>
      <c r="C142" t="s">
        <v>256</v>
      </c>
      <c r="D142" s="1" t="s">
        <v>258</v>
      </c>
      <c r="E142" s="5">
        <v>578</v>
      </c>
    </row>
    <row r="143" spans="1:6" x14ac:dyDescent="0.3">
      <c r="A143">
        <v>247</v>
      </c>
      <c r="B143" t="s">
        <v>136</v>
      </c>
      <c r="C143" t="s">
        <v>259</v>
      </c>
      <c r="D143" s="1" t="s">
        <v>260</v>
      </c>
      <c r="E143" s="5">
        <v>2</v>
      </c>
      <c r="F143" t="s">
        <v>261</v>
      </c>
    </row>
    <row r="144" spans="1:6" x14ac:dyDescent="0.3">
      <c r="A144">
        <v>247</v>
      </c>
      <c r="B144" t="s">
        <v>136</v>
      </c>
      <c r="C144" t="s">
        <v>259</v>
      </c>
      <c r="D144" s="1" t="s">
        <v>260</v>
      </c>
      <c r="E144" s="5">
        <v>3</v>
      </c>
      <c r="F144" t="s">
        <v>262</v>
      </c>
    </row>
    <row r="145" spans="1:6" x14ac:dyDescent="0.3">
      <c r="A145">
        <v>247</v>
      </c>
      <c r="B145" t="s">
        <v>136</v>
      </c>
      <c r="C145" t="s">
        <v>263</v>
      </c>
      <c r="D145" s="1" t="s">
        <v>264</v>
      </c>
      <c r="E145" s="5">
        <v>1</v>
      </c>
      <c r="F145" t="s">
        <v>265</v>
      </c>
    </row>
    <row r="146" spans="1:6" x14ac:dyDescent="0.3">
      <c r="A146">
        <v>248</v>
      </c>
      <c r="B146" t="s">
        <v>136</v>
      </c>
      <c r="C146" t="s">
        <v>266</v>
      </c>
      <c r="D146" s="1" t="s">
        <v>267</v>
      </c>
      <c r="E146" s="5">
        <v>75</v>
      </c>
      <c r="F146" t="s">
        <v>268</v>
      </c>
    </row>
    <row r="147" spans="1:6" x14ac:dyDescent="0.3">
      <c r="A147">
        <v>249</v>
      </c>
      <c r="B147" t="s">
        <v>136</v>
      </c>
      <c r="C147" t="s">
        <v>269</v>
      </c>
      <c r="D147" s="1" t="s">
        <v>270</v>
      </c>
      <c r="E147" s="5">
        <v>10</v>
      </c>
      <c r="F147" s="5" t="s">
        <v>271</v>
      </c>
    </row>
    <row r="148" spans="1:6" x14ac:dyDescent="0.3">
      <c r="A148">
        <v>260</v>
      </c>
      <c r="B148" t="s">
        <v>136</v>
      </c>
      <c r="C148" t="s">
        <v>269</v>
      </c>
      <c r="D148" s="1" t="s">
        <v>270</v>
      </c>
      <c r="E148" s="5">
        <v>13</v>
      </c>
      <c r="F148" s="5" t="s">
        <v>271</v>
      </c>
    </row>
    <row r="149" spans="1:6" x14ac:dyDescent="0.3">
      <c r="A149">
        <v>261</v>
      </c>
      <c r="B149" t="s">
        <v>136</v>
      </c>
      <c r="C149" t="s">
        <v>253</v>
      </c>
      <c r="D149" s="1" t="s">
        <v>254</v>
      </c>
      <c r="E149" s="5">
        <v>30</v>
      </c>
    </row>
    <row r="150" spans="1:6" x14ac:dyDescent="0.3">
      <c r="A150">
        <v>261</v>
      </c>
      <c r="B150" t="s">
        <v>136</v>
      </c>
      <c r="C150" t="s">
        <v>253</v>
      </c>
      <c r="D150" s="1" t="s">
        <v>272</v>
      </c>
      <c r="E150" s="5">
        <v>1</v>
      </c>
    </row>
    <row r="151" spans="1:6" x14ac:dyDescent="0.3">
      <c r="A151">
        <v>261</v>
      </c>
      <c r="B151" t="s">
        <v>136</v>
      </c>
      <c r="C151" t="s">
        <v>253</v>
      </c>
      <c r="D151" s="1" t="s">
        <v>273</v>
      </c>
      <c r="E151" s="5">
        <v>2</v>
      </c>
    </row>
    <row r="152" spans="1:6" x14ac:dyDescent="0.3">
      <c r="A152">
        <v>262</v>
      </c>
      <c r="B152" t="s">
        <v>136</v>
      </c>
      <c r="C152" t="s">
        <v>269</v>
      </c>
      <c r="D152" s="1" t="s">
        <v>270</v>
      </c>
      <c r="E152" s="5">
        <v>46</v>
      </c>
      <c r="F152" s="5" t="s">
        <v>271</v>
      </c>
    </row>
    <row r="153" spans="1:6" x14ac:dyDescent="0.3">
      <c r="A153">
        <v>263</v>
      </c>
      <c r="B153" t="s">
        <v>136</v>
      </c>
      <c r="C153" t="s">
        <v>253</v>
      </c>
      <c r="D153" s="1" t="s">
        <v>273</v>
      </c>
      <c r="E153">
        <v>2</v>
      </c>
    </row>
    <row r="154" spans="1:6" x14ac:dyDescent="0.3">
      <c r="A154">
        <v>263</v>
      </c>
      <c r="B154" t="s">
        <v>136</v>
      </c>
      <c r="C154" t="s">
        <v>253</v>
      </c>
      <c r="D154" s="1" t="s">
        <v>254</v>
      </c>
      <c r="E154" s="5">
        <v>14</v>
      </c>
    </row>
    <row r="155" spans="1:6" x14ac:dyDescent="0.3">
      <c r="A155">
        <v>264</v>
      </c>
      <c r="B155" t="s">
        <v>136</v>
      </c>
      <c r="C155" s="1" t="s">
        <v>259</v>
      </c>
      <c r="D155" s="1" t="s">
        <v>260</v>
      </c>
      <c r="E155" s="5">
        <v>14</v>
      </c>
      <c r="F155" t="s">
        <v>262</v>
      </c>
    </row>
    <row r="156" spans="1:6" x14ac:dyDescent="0.3">
      <c r="A156">
        <v>265</v>
      </c>
      <c r="B156" t="s">
        <v>136</v>
      </c>
      <c r="C156" t="s">
        <v>275</v>
      </c>
      <c r="D156" s="1" t="s">
        <v>274</v>
      </c>
      <c r="E156" s="5">
        <v>6</v>
      </c>
    </row>
    <row r="157" spans="1:6" x14ac:dyDescent="0.3">
      <c r="A157">
        <v>265</v>
      </c>
      <c r="B157" t="s">
        <v>136</v>
      </c>
      <c r="C157" t="s">
        <v>277</v>
      </c>
      <c r="E157" s="5">
        <v>1</v>
      </c>
    </row>
    <row r="158" spans="1:6" x14ac:dyDescent="0.3">
      <c r="A158">
        <v>266</v>
      </c>
      <c r="B158" t="s">
        <v>136</v>
      </c>
      <c r="C158" t="s">
        <v>259</v>
      </c>
      <c r="D158" s="1" t="s">
        <v>260</v>
      </c>
      <c r="E158">
        <v>7</v>
      </c>
      <c r="F158" t="s">
        <v>276</v>
      </c>
    </row>
    <row r="159" spans="1:6" x14ac:dyDescent="0.3">
      <c r="A159">
        <v>267</v>
      </c>
      <c r="B159" t="s">
        <v>136</v>
      </c>
      <c r="C159" t="s">
        <v>259</v>
      </c>
      <c r="D159" s="1" t="s">
        <v>260</v>
      </c>
      <c r="E159">
        <v>22</v>
      </c>
      <c r="F159" t="s">
        <v>209</v>
      </c>
    </row>
    <row r="160" spans="1:6" x14ac:dyDescent="0.3">
      <c r="A160">
        <v>268</v>
      </c>
      <c r="B160" t="s">
        <v>136</v>
      </c>
      <c r="C160" t="s">
        <v>259</v>
      </c>
      <c r="D160" s="1" t="s">
        <v>260</v>
      </c>
      <c r="E160">
        <v>20</v>
      </c>
      <c r="F160" t="s">
        <v>209</v>
      </c>
    </row>
    <row r="161" spans="1:6" x14ac:dyDescent="0.3">
      <c r="A161">
        <v>269</v>
      </c>
      <c r="B161" t="s">
        <v>136</v>
      </c>
      <c r="C161" t="s">
        <v>259</v>
      </c>
      <c r="D161" s="1" t="s">
        <v>260</v>
      </c>
      <c r="E161">
        <v>19</v>
      </c>
      <c r="F161" t="s">
        <v>214</v>
      </c>
    </row>
    <row r="162" spans="1:6" x14ac:dyDescent="0.3">
      <c r="A162">
        <v>269</v>
      </c>
      <c r="B162" t="s">
        <v>136</v>
      </c>
      <c r="C162" t="s">
        <v>259</v>
      </c>
      <c r="D162" s="1" t="s">
        <v>260</v>
      </c>
      <c r="E162">
        <v>10</v>
      </c>
      <c r="F162" t="s">
        <v>213</v>
      </c>
    </row>
    <row r="163" spans="1:6" x14ac:dyDescent="0.3">
      <c r="A163">
        <v>300</v>
      </c>
      <c r="B163" t="s">
        <v>136</v>
      </c>
      <c r="C163" t="s">
        <v>259</v>
      </c>
      <c r="D163" s="1" t="s">
        <v>260</v>
      </c>
      <c r="E163">
        <v>20</v>
      </c>
      <c r="F163" t="s">
        <v>211</v>
      </c>
    </row>
    <row r="164" spans="1:6" x14ac:dyDescent="0.3">
      <c r="A164">
        <v>300</v>
      </c>
      <c r="B164" t="s">
        <v>136</v>
      </c>
      <c r="C164" t="s">
        <v>278</v>
      </c>
      <c r="E164">
        <v>2</v>
      </c>
      <c r="F164" t="s">
        <v>211</v>
      </c>
    </row>
    <row r="165" spans="1:6" x14ac:dyDescent="0.3">
      <c r="A165">
        <v>300</v>
      </c>
      <c r="B165" t="s">
        <v>136</v>
      </c>
      <c r="C165" t="s">
        <v>279</v>
      </c>
      <c r="D165" s="1" t="s">
        <v>193</v>
      </c>
      <c r="E165">
        <v>4</v>
      </c>
      <c r="F165" t="s">
        <v>280</v>
      </c>
    </row>
    <row r="166" spans="1:6" x14ac:dyDescent="0.3">
      <c r="A166">
        <v>300</v>
      </c>
      <c r="B166" t="s">
        <v>136</v>
      </c>
      <c r="C166" t="s">
        <v>246</v>
      </c>
      <c r="D166" s="1" t="s">
        <v>193</v>
      </c>
      <c r="E166">
        <f>19+17</f>
        <v>36</v>
      </c>
    </row>
    <row r="167" spans="1:6" x14ac:dyDescent="0.3">
      <c r="A167">
        <v>301</v>
      </c>
      <c r="B167" t="s">
        <v>136</v>
      </c>
      <c r="C167" t="s">
        <v>281</v>
      </c>
      <c r="D167" s="1" t="s">
        <v>223</v>
      </c>
      <c r="E167">
        <v>11</v>
      </c>
      <c r="F167" t="s">
        <v>280</v>
      </c>
    </row>
    <row r="168" spans="1:6" x14ac:dyDescent="0.3">
      <c r="A168">
        <v>301</v>
      </c>
      <c r="B168" t="s">
        <v>136</v>
      </c>
      <c r="C168" t="s">
        <v>281</v>
      </c>
      <c r="D168" s="1" t="s">
        <v>282</v>
      </c>
      <c r="E168">
        <v>4</v>
      </c>
      <c r="F168" t="s">
        <v>283</v>
      </c>
    </row>
    <row r="169" spans="1:6" x14ac:dyDescent="0.3">
      <c r="A169">
        <v>301</v>
      </c>
      <c r="B169" t="s">
        <v>136</v>
      </c>
      <c r="C169" t="s">
        <v>281</v>
      </c>
      <c r="D169" s="1" t="s">
        <v>217</v>
      </c>
      <c r="E169">
        <v>3</v>
      </c>
      <c r="F169" t="s">
        <v>280</v>
      </c>
    </row>
    <row r="170" spans="1:6" x14ac:dyDescent="0.3">
      <c r="A170">
        <v>302</v>
      </c>
      <c r="B170" t="s">
        <v>136</v>
      </c>
      <c r="C170" t="s">
        <v>259</v>
      </c>
      <c r="D170" s="1" t="s">
        <v>260</v>
      </c>
      <c r="E170">
        <v>2</v>
      </c>
      <c r="F170" t="s">
        <v>284</v>
      </c>
    </row>
  </sheetData>
  <autoFilter ref="A2:H75" xr:uid="{767D9538-5D8F-44FA-973A-E98F432FF03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Stephany Martuscelli</dc:creator>
  <cp:lastModifiedBy>Stephany Martuscelli</cp:lastModifiedBy>
  <dcterms:created xsi:type="dcterms:W3CDTF">2026-07-03T14:31:43Z</dcterms:created>
  <dcterms:modified xsi:type="dcterms:W3CDTF">2026-07-03T21:03:57Z</dcterms:modified>
</cp:coreProperties>
</file>